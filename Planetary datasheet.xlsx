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rd/Documents/GitHub/Ward-github/PPI/PPIAssignment1/"/>
    </mc:Choice>
  </mc:AlternateContent>
  <xr:revisionPtr revIDLastSave="0" documentId="13_ncr:1_{679216FD-A005-2749-ABB0-FA3874C1906F}" xr6:coauthVersionLast="47" xr6:coauthVersionMax="47" xr10:uidLastSave="{00000000-0000-0000-0000-000000000000}"/>
  <bookViews>
    <workbookView xWindow="840" yWindow="620" windowWidth="27960" windowHeight="16220" xr2:uid="{1146C626-9A0D-214B-A53F-A7E891595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1" i="1"/>
  <c r="E14" i="1"/>
  <c r="E13" i="1"/>
  <c r="E12" i="1"/>
  <c r="E11" i="1"/>
  <c r="E10" i="1"/>
  <c r="E9" i="1"/>
  <c r="E8" i="1"/>
  <c r="E7" i="1"/>
</calcChain>
</file>

<file path=xl/sharedStrings.xml><?xml version="1.0" encoding="utf-8"?>
<sst xmlns="http://schemas.openxmlformats.org/spreadsheetml/2006/main" count="93" uniqueCount="71">
  <si>
    <t>Mercury</t>
  </si>
  <si>
    <t>Venus</t>
  </si>
  <si>
    <t xml:space="preserve">Earth </t>
  </si>
  <si>
    <t>Moon</t>
  </si>
  <si>
    <t>Mars</t>
  </si>
  <si>
    <t>Planet</t>
  </si>
  <si>
    <t>Density</t>
  </si>
  <si>
    <t>J2</t>
  </si>
  <si>
    <t>Crust thicknes</t>
  </si>
  <si>
    <t>Mantle thickness</t>
  </si>
  <si>
    <t>Ice thickness</t>
  </si>
  <si>
    <t>Core radius</t>
  </si>
  <si>
    <t>I/MR2</t>
  </si>
  <si>
    <t>Radius (km)</t>
  </si>
  <si>
    <t>Mass (10^20 kg)</t>
  </si>
  <si>
    <t>S</t>
  </si>
  <si>
    <t>Semi-major axis (km)</t>
  </si>
  <si>
    <t>Rotational period (day)</t>
  </si>
  <si>
    <t>Ceres</t>
  </si>
  <si>
    <t>Vesta</t>
  </si>
  <si>
    <t>Pallas</t>
  </si>
  <si>
    <t>Hygiea</t>
  </si>
  <si>
    <t>Davida</t>
  </si>
  <si>
    <t>Interamnia</t>
  </si>
  <si>
    <t>Europa</t>
  </si>
  <si>
    <t>Sylvia</t>
  </si>
  <si>
    <t>Jupiter</t>
  </si>
  <si>
    <t>Io</t>
  </si>
  <si>
    <t>Europa-ast</t>
  </si>
  <si>
    <t>Ganymede</t>
  </si>
  <si>
    <t>Callisto</t>
  </si>
  <si>
    <t>Saturn</t>
  </si>
  <si>
    <t>Mimas</t>
  </si>
  <si>
    <t>Enceladus</t>
  </si>
  <si>
    <t>Tethys</t>
  </si>
  <si>
    <t>Dione</t>
  </si>
  <si>
    <t>Rhea</t>
  </si>
  <si>
    <t>Titan</t>
  </si>
  <si>
    <t>Hyperion</t>
  </si>
  <si>
    <t>Iapetus</t>
  </si>
  <si>
    <t>Phoebe</t>
  </si>
  <si>
    <t>Uranus</t>
  </si>
  <si>
    <t>Miranda</t>
  </si>
  <si>
    <t>Ariel</t>
  </si>
  <si>
    <t>Umbriel</t>
  </si>
  <si>
    <t>Titania</t>
  </si>
  <si>
    <t>Oberon</t>
  </si>
  <si>
    <t>Neptune</t>
  </si>
  <si>
    <t>Triton</t>
  </si>
  <si>
    <t>Nereid</t>
  </si>
  <si>
    <t>Proteus</t>
  </si>
  <si>
    <t>Hektor</t>
  </si>
  <si>
    <t>Pluto</t>
  </si>
  <si>
    <t>Eris</t>
  </si>
  <si>
    <t>Makemake</t>
  </si>
  <si>
    <t>Haumea</t>
  </si>
  <si>
    <t>Charon</t>
  </si>
  <si>
    <t>Sedna</t>
  </si>
  <si>
    <t>Varuna</t>
  </si>
  <si>
    <t>Quaoar</t>
  </si>
  <si>
    <t>DP-225088</t>
  </si>
  <si>
    <t>tectonic state</t>
  </si>
  <si>
    <t>Meteoritic samples</t>
  </si>
  <si>
    <t>Temperature Core (K)</t>
  </si>
  <si>
    <t>surface Temperature (K)</t>
  </si>
  <si>
    <t>plate tectonics</t>
  </si>
  <si>
    <t>episodic overturn</t>
  </si>
  <si>
    <t>stagnant lid</t>
  </si>
  <si>
    <t>stagnant lid/heat piping</t>
  </si>
  <si>
    <t>unknown/gas giant</t>
  </si>
  <si>
    <t>heat piping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</si>
</sst>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AC61-59A9-B544-8F61-6E655A81509B}">
  <dimension ref="A1:P49"/>
  <sheetViews>
    <sheetView tabSelected="1" topLeftCell="D1" workbookViewId="0">
      <selection activeCell="K5" sqref="K5"/>
    </sheetView>
  </sheetViews>
  <sheetFormatPr baseColWidth="10" defaultRowHeight="16" x14ac:dyDescent="0.2"/>
  <cols>
    <col min="1" max="2" width="10.83203125" style="1"/>
    <col min="3" max="3" width="16.1640625" style="1" customWidth="1"/>
    <col min="4" max="4" width="23" style="1" customWidth="1"/>
    <col min="5" max="5" width="21.6640625" style="1" customWidth="1"/>
    <col min="6" max="6" width="14.5" style="1" bestFit="1" customWidth="1"/>
    <col min="7" max="7" width="4.33203125" style="1" customWidth="1"/>
    <col min="8" max="8" width="12.5" style="1" bestFit="1" customWidth="1"/>
    <col min="9" max="9" width="15" style="1" bestFit="1" customWidth="1"/>
    <col min="10" max="10" width="11.5" style="1" bestFit="1" customWidth="1"/>
    <col min="11" max="12" width="10.83203125" style="1"/>
    <col min="13" max="13" width="19" style="1" bestFit="1" customWidth="1"/>
    <col min="14" max="14" width="21.5" style="1" bestFit="1" customWidth="1"/>
    <col min="15" max="15" width="22.1640625" style="1" customWidth="1"/>
    <col min="16" max="16" width="17.33203125" style="1" customWidth="1"/>
    <col min="17" max="16384" width="10.83203125" style="1"/>
  </cols>
  <sheetData>
    <row r="1" spans="1:16" x14ac:dyDescent="0.2">
      <c r="A1" s="2" t="s">
        <v>5</v>
      </c>
      <c r="B1" s="1" t="s">
        <v>13</v>
      </c>
      <c r="C1" s="1" t="s">
        <v>14</v>
      </c>
      <c r="D1" s="1" t="s">
        <v>6</v>
      </c>
      <c r="E1" s="1" t="s">
        <v>17</v>
      </c>
      <c r="F1" s="1" t="s">
        <v>16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63</v>
      </c>
      <c r="N1" s="1" t="s">
        <v>64</v>
      </c>
      <c r="O1" s="1" t="s">
        <v>61</v>
      </c>
      <c r="P1" s="1" t="s">
        <v>62</v>
      </c>
    </row>
    <row r="2" spans="1:16" x14ac:dyDescent="0.2">
      <c r="A2" s="1" t="s">
        <v>0</v>
      </c>
      <c r="B2" s="1">
        <v>2440</v>
      </c>
      <c r="C2" s="1">
        <v>3302</v>
      </c>
      <c r="D2" s="1">
        <v>5427</v>
      </c>
      <c r="E2" s="1">
        <v>1759.421</v>
      </c>
      <c r="F2" s="1">
        <v>0.3871</v>
      </c>
      <c r="K2" s="1">
        <v>2060</v>
      </c>
      <c r="L2" s="3">
        <v>0.35299999999999998</v>
      </c>
      <c r="M2" s="3"/>
      <c r="O2" s="1" t="s">
        <v>67</v>
      </c>
    </row>
    <row r="3" spans="1:16" x14ac:dyDescent="0.2">
      <c r="A3" s="1" t="s">
        <v>1</v>
      </c>
      <c r="B3" s="1">
        <v>6051.8</v>
      </c>
      <c r="C3" s="1">
        <v>48685</v>
      </c>
      <c r="D3" s="1">
        <v>5204</v>
      </c>
      <c r="E3" s="1">
        <v>116.749</v>
      </c>
      <c r="F3" s="1">
        <v>0.72330000000000005</v>
      </c>
      <c r="K3" s="1">
        <v>3147</v>
      </c>
      <c r="L3" s="3">
        <v>0.33</v>
      </c>
      <c r="M3" s="3"/>
      <c r="O3" s="1" t="s">
        <v>66</v>
      </c>
    </row>
    <row r="4" spans="1:16" x14ac:dyDescent="0.2">
      <c r="A4" s="1" t="s">
        <v>2</v>
      </c>
      <c r="B4" s="1">
        <v>6378</v>
      </c>
      <c r="C4" s="1">
        <v>59742</v>
      </c>
      <c r="D4" s="1">
        <v>5515</v>
      </c>
      <c r="E4" s="1">
        <v>1</v>
      </c>
      <c r="F4" s="1">
        <v>1</v>
      </c>
      <c r="K4" s="1">
        <v>3485</v>
      </c>
      <c r="L4" s="3">
        <v>0.33100000000000002</v>
      </c>
      <c r="M4" s="3"/>
      <c r="O4" s="1" t="s">
        <v>65</v>
      </c>
    </row>
    <row r="5" spans="1:16" x14ac:dyDescent="0.2">
      <c r="A5" s="1" t="s">
        <v>3</v>
      </c>
      <c r="B5" s="1">
        <v>1737.53</v>
      </c>
      <c r="C5" s="1">
        <v>734.9</v>
      </c>
      <c r="D5" s="1">
        <v>3304</v>
      </c>
      <c r="E5" s="1" t="s">
        <v>15</v>
      </c>
      <c r="F5" s="1">
        <v>384400</v>
      </c>
      <c r="K5" s="1">
        <v>350</v>
      </c>
      <c r="L5" s="3">
        <v>0.39300000000000002</v>
      </c>
      <c r="M5" s="3"/>
      <c r="O5" s="1" t="s">
        <v>67</v>
      </c>
    </row>
    <row r="6" spans="1:16" x14ac:dyDescent="0.2">
      <c r="A6" s="1" t="s">
        <v>4</v>
      </c>
      <c r="B6" s="1">
        <v>3396</v>
      </c>
      <c r="C6" s="1">
        <v>6419</v>
      </c>
      <c r="D6" s="1">
        <v>3933</v>
      </c>
      <c r="E6" s="1">
        <v>1.0269999999999999</v>
      </c>
      <c r="F6" s="1">
        <v>15237</v>
      </c>
      <c r="K6" s="1">
        <v>1700</v>
      </c>
      <c r="L6" s="3">
        <v>0.36499999999999999</v>
      </c>
      <c r="M6" s="3"/>
      <c r="O6" s="1" t="s">
        <v>68</v>
      </c>
    </row>
    <row r="7" spans="1:16" x14ac:dyDescent="0.2">
      <c r="A7" s="1" t="s">
        <v>18</v>
      </c>
      <c r="B7" s="1">
        <v>467.6</v>
      </c>
      <c r="C7" s="1">
        <v>94.3</v>
      </c>
      <c r="D7" s="1">
        <v>2210</v>
      </c>
      <c r="E7" s="1">
        <f>9.075/24</f>
        <v>0.37812499999999999</v>
      </c>
      <c r="F7" s="1">
        <v>2.766</v>
      </c>
      <c r="L7" s="3">
        <v>0.36</v>
      </c>
      <c r="M7" s="3"/>
    </row>
    <row r="8" spans="1:16" x14ac:dyDescent="0.2">
      <c r="A8" s="1" t="s">
        <v>19</v>
      </c>
      <c r="B8" s="1">
        <v>264.5</v>
      </c>
      <c r="C8" s="1">
        <v>26.7</v>
      </c>
      <c r="D8" s="1">
        <v>3400</v>
      </c>
      <c r="E8" s="1">
        <f>5.342/24</f>
        <v>0.22258333333333333</v>
      </c>
      <c r="F8" s="1">
        <v>2.3620000000000001</v>
      </c>
      <c r="L8" s="3"/>
      <c r="M8" s="3"/>
    </row>
    <row r="9" spans="1:16" x14ac:dyDescent="0.2">
      <c r="A9" s="1" t="s">
        <v>20</v>
      </c>
      <c r="B9" s="1">
        <v>256</v>
      </c>
      <c r="C9" s="1">
        <v>23.9</v>
      </c>
      <c r="D9" s="1">
        <v>3440</v>
      </c>
      <c r="E9" s="1">
        <f>7.811/24</f>
        <v>0.32545833333333335</v>
      </c>
      <c r="F9" s="1">
        <v>2.7719999999999998</v>
      </c>
      <c r="L9" s="3"/>
      <c r="M9" s="3"/>
    </row>
    <row r="10" spans="1:16" x14ac:dyDescent="0.2">
      <c r="A10" s="1" t="s">
        <v>21</v>
      </c>
      <c r="B10" s="1">
        <v>203.6</v>
      </c>
      <c r="C10" s="1">
        <v>10</v>
      </c>
      <c r="D10" s="1">
        <v>2760</v>
      </c>
      <c r="E10" s="1">
        <f>27.623/24</f>
        <v>1.1509583333333333</v>
      </c>
      <c r="F10" s="1">
        <v>3.137</v>
      </c>
      <c r="L10" s="3"/>
      <c r="M10" s="3"/>
    </row>
    <row r="11" spans="1:16" x14ac:dyDescent="0.2">
      <c r="A11" s="1" t="s">
        <v>22</v>
      </c>
      <c r="B11" s="1">
        <v>163</v>
      </c>
      <c r="E11" s="1">
        <f>5.13/24</f>
        <v>0.21375</v>
      </c>
      <c r="F11" s="1">
        <v>3.1659999999999999</v>
      </c>
      <c r="L11" s="3"/>
      <c r="M11" s="3"/>
    </row>
    <row r="12" spans="1:16" x14ac:dyDescent="0.2">
      <c r="A12" s="1" t="s">
        <v>23</v>
      </c>
      <c r="B12" s="1">
        <v>158.30000000000001</v>
      </c>
      <c r="E12" s="1">
        <f>8.727/24</f>
        <v>0.36362500000000003</v>
      </c>
      <c r="F12" s="1">
        <v>3.0619999999999998</v>
      </c>
      <c r="L12" s="3"/>
      <c r="M12" s="3"/>
    </row>
    <row r="13" spans="1:16" x14ac:dyDescent="0.2">
      <c r="A13" s="1" t="s">
        <v>28</v>
      </c>
      <c r="B13" s="1">
        <v>151.30000000000001</v>
      </c>
      <c r="E13" s="1">
        <f>5.631/24</f>
        <v>0.234625</v>
      </c>
      <c r="F13" s="1">
        <v>3.0990000000000002</v>
      </c>
      <c r="L13" s="3"/>
      <c r="M13" s="3"/>
    </row>
    <row r="14" spans="1:16" x14ac:dyDescent="0.2">
      <c r="A14" s="1" t="s">
        <v>25</v>
      </c>
      <c r="B14" s="1">
        <v>143</v>
      </c>
      <c r="C14" s="1">
        <v>1.48</v>
      </c>
      <c r="D14" s="1">
        <v>1200</v>
      </c>
      <c r="E14" s="1">
        <f>5.184/24</f>
        <v>0.216</v>
      </c>
      <c r="F14" s="1">
        <v>3.4889999999999999</v>
      </c>
      <c r="L14" s="3"/>
      <c r="M14" s="3"/>
    </row>
    <row r="15" spans="1:16" x14ac:dyDescent="0.2">
      <c r="A15" s="1" t="s">
        <v>26</v>
      </c>
      <c r="B15" s="1">
        <v>71492</v>
      </c>
      <c r="C15" s="1">
        <v>18988000</v>
      </c>
      <c r="D15" s="1">
        <v>1326</v>
      </c>
      <c r="E15" s="1">
        <v>0.41399999999999998</v>
      </c>
      <c r="F15" s="1">
        <v>5.2030000000000003</v>
      </c>
      <c r="L15" s="3">
        <v>0.254</v>
      </c>
      <c r="M15" s="3"/>
      <c r="O15" s="1" t="s">
        <v>69</v>
      </c>
    </row>
    <row r="16" spans="1:16" x14ac:dyDescent="0.2">
      <c r="A16" s="1" t="s">
        <v>27</v>
      </c>
      <c r="B16" s="1">
        <v>1821.3</v>
      </c>
      <c r="C16" s="1">
        <v>893.3</v>
      </c>
      <c r="D16" s="1">
        <v>3530</v>
      </c>
      <c r="E16" s="1" t="s">
        <v>15</v>
      </c>
      <c r="F16" s="1">
        <v>421770</v>
      </c>
      <c r="K16" s="1">
        <v>600</v>
      </c>
      <c r="L16" s="3">
        <v>0.378</v>
      </c>
      <c r="M16" s="3"/>
      <c r="O16" s="1" t="s">
        <v>70</v>
      </c>
    </row>
    <row r="17" spans="1:15" x14ac:dyDescent="0.2">
      <c r="A17" s="1" t="s">
        <v>24</v>
      </c>
      <c r="B17" s="1">
        <v>1565</v>
      </c>
      <c r="C17" s="1">
        <v>479.7</v>
      </c>
      <c r="D17" s="1">
        <v>3020</v>
      </c>
      <c r="E17" s="1" t="s">
        <v>15</v>
      </c>
      <c r="F17" s="1">
        <v>671080</v>
      </c>
      <c r="L17" s="3">
        <v>0.34599999999999997</v>
      </c>
      <c r="M17" s="3"/>
    </row>
    <row r="18" spans="1:15" x14ac:dyDescent="0.2">
      <c r="A18" s="1" t="s">
        <v>29</v>
      </c>
      <c r="B18" s="1">
        <v>2634</v>
      </c>
      <c r="C18" s="1">
        <v>1482</v>
      </c>
      <c r="D18" s="1">
        <v>1940</v>
      </c>
      <c r="E18" s="1" t="s">
        <v>15</v>
      </c>
      <c r="F18" s="1">
        <v>1070400</v>
      </c>
      <c r="K18" s="1">
        <v>500</v>
      </c>
      <c r="L18" s="3">
        <v>0.312</v>
      </c>
      <c r="M18" s="3"/>
    </row>
    <row r="19" spans="1:15" x14ac:dyDescent="0.2">
      <c r="A19" s="1" t="s">
        <v>30</v>
      </c>
      <c r="B19" s="1">
        <v>2403</v>
      </c>
      <c r="C19" s="1">
        <v>1076</v>
      </c>
      <c r="D19" s="1">
        <v>1850</v>
      </c>
      <c r="E19" s="1" t="s">
        <v>15</v>
      </c>
      <c r="F19" s="1">
        <v>1882800</v>
      </c>
      <c r="L19" s="3">
        <v>0.35499999999999998</v>
      </c>
      <c r="M19" s="3"/>
    </row>
    <row r="20" spans="1:15" x14ac:dyDescent="0.2">
      <c r="A20" s="1" t="s">
        <v>31</v>
      </c>
      <c r="B20" s="1">
        <v>60268</v>
      </c>
      <c r="C20" s="1">
        <v>5685000</v>
      </c>
      <c r="D20" s="1">
        <v>687</v>
      </c>
      <c r="E20" s="1">
        <v>0.44</v>
      </c>
      <c r="F20" s="1">
        <v>9.5429999999999993</v>
      </c>
      <c r="L20" s="3">
        <v>0.21</v>
      </c>
      <c r="M20" s="3"/>
      <c r="O20" s="1" t="s">
        <v>69</v>
      </c>
    </row>
    <row r="21" spans="1:15" x14ac:dyDescent="0.2">
      <c r="A21" s="1" t="s">
        <v>32</v>
      </c>
      <c r="B21" s="1">
        <v>208</v>
      </c>
      <c r="C21" s="1">
        <v>0.38</v>
      </c>
      <c r="D21" s="1">
        <v>1150</v>
      </c>
      <c r="E21" s="1" t="s">
        <v>15</v>
      </c>
      <c r="F21" s="1">
        <v>185520</v>
      </c>
      <c r="L21" s="3"/>
      <c r="M21" s="3"/>
    </row>
    <row r="22" spans="1:15" x14ac:dyDescent="0.2">
      <c r="A22" s="1" t="s">
        <v>33</v>
      </c>
      <c r="B22" s="1">
        <v>257</v>
      </c>
      <c r="C22" s="1">
        <v>0.65</v>
      </c>
      <c r="D22" s="1">
        <v>1150</v>
      </c>
      <c r="E22" s="1" t="s">
        <v>15</v>
      </c>
      <c r="F22" s="1">
        <v>238020</v>
      </c>
      <c r="L22" s="3">
        <v>0.33050000000000002</v>
      </c>
      <c r="M22" s="3"/>
    </row>
    <row r="23" spans="1:15" x14ac:dyDescent="0.2">
      <c r="A23" s="1" t="s">
        <v>34</v>
      </c>
      <c r="B23" s="1">
        <v>538</v>
      </c>
      <c r="C23" s="1">
        <v>6.27</v>
      </c>
      <c r="D23" s="1">
        <v>985</v>
      </c>
      <c r="E23" s="1" t="s">
        <v>15</v>
      </c>
      <c r="F23" s="1">
        <v>294660</v>
      </c>
      <c r="L23" s="3"/>
      <c r="M23" s="3"/>
    </row>
    <row r="24" spans="1:15" x14ac:dyDescent="0.2">
      <c r="A24" s="1" t="s">
        <v>35</v>
      </c>
      <c r="B24" s="1">
        <v>563</v>
      </c>
      <c r="C24" s="1">
        <v>11</v>
      </c>
      <c r="D24" s="1">
        <v>1480</v>
      </c>
      <c r="E24" s="1" t="s">
        <v>15</v>
      </c>
      <c r="F24" s="1">
        <v>377710</v>
      </c>
      <c r="L24" s="3"/>
      <c r="M24" s="3"/>
    </row>
    <row r="25" spans="1:15" x14ac:dyDescent="0.2">
      <c r="A25" s="1" t="s">
        <v>36</v>
      </c>
      <c r="B25" s="1">
        <v>765</v>
      </c>
      <c r="C25" s="1">
        <v>23.1</v>
      </c>
      <c r="D25" s="1">
        <v>1240</v>
      </c>
      <c r="E25" s="1" t="s">
        <v>15</v>
      </c>
      <c r="F25" s="1">
        <v>527040</v>
      </c>
      <c r="L25" s="3">
        <v>0.3911</v>
      </c>
      <c r="M25" s="3"/>
    </row>
    <row r="26" spans="1:15" x14ac:dyDescent="0.2">
      <c r="A26" s="1" t="s">
        <v>37</v>
      </c>
      <c r="B26" s="1">
        <v>2575</v>
      </c>
      <c r="C26" s="1">
        <v>1345.7</v>
      </c>
      <c r="D26" s="1">
        <v>1880</v>
      </c>
      <c r="E26" s="1" t="s">
        <v>15</v>
      </c>
      <c r="F26" s="1">
        <v>1221850</v>
      </c>
      <c r="L26" s="3">
        <v>0.34100000000000003</v>
      </c>
      <c r="M26" s="3"/>
    </row>
    <row r="27" spans="1:15" x14ac:dyDescent="0.2">
      <c r="A27" s="1" t="s">
        <v>38</v>
      </c>
      <c r="B27" s="1">
        <v>180</v>
      </c>
      <c r="C27" s="1">
        <v>5.6000000000000001E-2</v>
      </c>
      <c r="D27" s="1">
        <v>540</v>
      </c>
      <c r="E27" s="1" t="s">
        <v>15</v>
      </c>
      <c r="F27" s="1">
        <v>1481100</v>
      </c>
      <c r="L27" s="3"/>
      <c r="M27" s="3"/>
    </row>
    <row r="28" spans="1:15" x14ac:dyDescent="0.2">
      <c r="A28" s="1" t="s">
        <v>39</v>
      </c>
      <c r="B28" s="1">
        <v>746</v>
      </c>
      <c r="C28" s="1">
        <v>18.100000000000001</v>
      </c>
      <c r="D28" s="1">
        <v>1090</v>
      </c>
      <c r="E28" s="1" t="s">
        <v>15</v>
      </c>
      <c r="F28" s="1">
        <v>3561300</v>
      </c>
      <c r="L28" s="3"/>
      <c r="M28" s="3"/>
    </row>
    <row r="29" spans="1:15" x14ac:dyDescent="0.2">
      <c r="A29" s="1" t="s">
        <v>40</v>
      </c>
      <c r="B29" s="1">
        <v>100</v>
      </c>
      <c r="C29" s="1">
        <v>8.3000000000000004E-2</v>
      </c>
      <c r="D29" s="1">
        <v>1640</v>
      </c>
      <c r="E29" s="1">
        <v>0.38700000000000001</v>
      </c>
      <c r="F29" s="1">
        <v>12952000</v>
      </c>
      <c r="L29" s="3"/>
      <c r="M29" s="3"/>
    </row>
    <row r="30" spans="1:15" x14ac:dyDescent="0.2">
      <c r="A30" s="1" t="s">
        <v>41</v>
      </c>
      <c r="B30" s="1">
        <v>25559</v>
      </c>
      <c r="C30" s="1">
        <v>866250</v>
      </c>
      <c r="D30" s="1">
        <v>1318</v>
      </c>
      <c r="E30" s="1">
        <v>0.71799999999999997</v>
      </c>
      <c r="F30" s="1">
        <v>19.192</v>
      </c>
      <c r="L30" s="3">
        <v>0.23</v>
      </c>
      <c r="M30" s="3"/>
      <c r="O30" s="1" t="s">
        <v>69</v>
      </c>
    </row>
    <row r="31" spans="1:15" x14ac:dyDescent="0.2">
      <c r="A31" s="1" t="s">
        <v>42</v>
      </c>
      <c r="B31" s="1">
        <v>240</v>
      </c>
      <c r="C31" s="1">
        <v>0.65900000000000003</v>
      </c>
      <c r="D31" s="1">
        <v>1200</v>
      </c>
      <c r="E31" s="1" t="s">
        <v>15</v>
      </c>
      <c r="F31" s="1">
        <v>129800</v>
      </c>
      <c r="L31" s="3"/>
      <c r="M31" s="3"/>
    </row>
    <row r="32" spans="1:15" x14ac:dyDescent="0.2">
      <c r="A32" s="1" t="s">
        <v>43</v>
      </c>
      <c r="B32" s="1">
        <v>581.1</v>
      </c>
      <c r="C32" s="1">
        <v>13.53</v>
      </c>
      <c r="D32" s="1">
        <v>1670</v>
      </c>
      <c r="E32" s="1" t="s">
        <v>15</v>
      </c>
      <c r="F32" s="1">
        <v>191200</v>
      </c>
      <c r="L32" s="3"/>
      <c r="M32" s="3"/>
    </row>
    <row r="33" spans="1:15" x14ac:dyDescent="0.2">
      <c r="A33" s="1" t="s">
        <v>44</v>
      </c>
      <c r="B33" s="1">
        <v>584.70000000000005</v>
      </c>
      <c r="C33" s="1">
        <v>11.72</v>
      </c>
      <c r="D33" s="1">
        <v>1400</v>
      </c>
      <c r="E33" s="1" t="s">
        <v>15</v>
      </c>
      <c r="F33" s="1">
        <v>266000</v>
      </c>
      <c r="L33" s="3"/>
      <c r="M33" s="3"/>
    </row>
    <row r="34" spans="1:15" x14ac:dyDescent="0.2">
      <c r="A34" s="1" t="s">
        <v>45</v>
      </c>
      <c r="B34" s="1">
        <v>788.9</v>
      </c>
      <c r="C34" s="1">
        <v>35.270000000000003</v>
      </c>
      <c r="D34" s="1">
        <v>1710</v>
      </c>
      <c r="E34" s="1" t="s">
        <v>15</v>
      </c>
      <c r="F34" s="1">
        <v>435800</v>
      </c>
      <c r="L34" s="3"/>
      <c r="M34" s="3"/>
    </row>
    <row r="35" spans="1:15" x14ac:dyDescent="0.2">
      <c r="A35" s="1" t="s">
        <v>46</v>
      </c>
      <c r="B35" s="1">
        <v>761.4</v>
      </c>
      <c r="C35" s="1">
        <v>30.14</v>
      </c>
      <c r="D35" s="1">
        <v>1630</v>
      </c>
      <c r="E35" s="1" t="s">
        <v>15</v>
      </c>
      <c r="F35" s="1">
        <v>582600</v>
      </c>
      <c r="L35" s="3"/>
      <c r="M35" s="3"/>
    </row>
    <row r="36" spans="1:15" x14ac:dyDescent="0.2">
      <c r="A36" s="1" t="s">
        <v>47</v>
      </c>
      <c r="B36" s="1">
        <v>24764</v>
      </c>
      <c r="C36" s="1">
        <v>1027800</v>
      </c>
      <c r="D36" s="1">
        <v>1638</v>
      </c>
      <c r="E36" s="1">
        <v>0.67100000000000004</v>
      </c>
      <c r="F36" s="1">
        <v>30.068999999999999</v>
      </c>
      <c r="L36" s="3">
        <v>0.23</v>
      </c>
      <c r="M36" s="3"/>
      <c r="O36" s="1" t="s">
        <v>69</v>
      </c>
    </row>
    <row r="37" spans="1:15" x14ac:dyDescent="0.2">
      <c r="A37" s="1" t="s">
        <v>50</v>
      </c>
      <c r="B37" s="1">
        <v>218</v>
      </c>
      <c r="F37" s="1">
        <v>117647</v>
      </c>
      <c r="L37" s="3"/>
      <c r="M37" s="3"/>
    </row>
    <row r="38" spans="1:15" x14ac:dyDescent="0.2">
      <c r="A38" s="1" t="s">
        <v>48</v>
      </c>
      <c r="B38" s="1">
        <v>1352.6</v>
      </c>
      <c r="C38" s="1">
        <v>214.7</v>
      </c>
      <c r="D38" s="1">
        <v>2054</v>
      </c>
      <c r="E38" s="1" t="s">
        <v>15</v>
      </c>
      <c r="F38" s="1">
        <v>354760</v>
      </c>
      <c r="L38" s="3"/>
      <c r="M38" s="3"/>
    </row>
    <row r="39" spans="1:15" x14ac:dyDescent="0.2">
      <c r="A39" s="1" t="s">
        <v>49</v>
      </c>
      <c r="B39" s="1">
        <v>170</v>
      </c>
      <c r="E39" s="1">
        <v>0.48</v>
      </c>
      <c r="F39" s="1">
        <v>5513400</v>
      </c>
      <c r="L39" s="3"/>
      <c r="M39" s="3"/>
    </row>
    <row r="40" spans="1:15" x14ac:dyDescent="0.2">
      <c r="A40" s="1" t="s">
        <v>51</v>
      </c>
      <c r="B40" s="1">
        <v>190</v>
      </c>
      <c r="C40" s="1">
        <v>0.1</v>
      </c>
      <c r="D40" s="1">
        <v>1600</v>
      </c>
      <c r="L40" s="3"/>
      <c r="M40" s="3"/>
    </row>
    <row r="41" spans="1:15" x14ac:dyDescent="0.2">
      <c r="A41" s="1" t="s">
        <v>52</v>
      </c>
      <c r="B41" s="1">
        <v>1153</v>
      </c>
      <c r="C41" s="1">
        <v>130.5</v>
      </c>
      <c r="D41" s="1">
        <v>2030</v>
      </c>
      <c r="E41" s="1">
        <f>153.3/24</f>
        <v>6.3875000000000002</v>
      </c>
      <c r="F41" s="1">
        <v>39.481999999999999</v>
      </c>
      <c r="L41" s="3"/>
      <c r="M41" s="3"/>
    </row>
    <row r="42" spans="1:15" x14ac:dyDescent="0.2">
      <c r="A42" s="1" t="s">
        <v>53</v>
      </c>
      <c r="B42" s="1">
        <v>1163</v>
      </c>
      <c r="C42" s="1">
        <v>167</v>
      </c>
      <c r="D42" s="1">
        <v>2520</v>
      </c>
      <c r="F42" s="1">
        <v>67.727999999999994</v>
      </c>
      <c r="L42" s="3"/>
      <c r="M42" s="3"/>
    </row>
    <row r="43" spans="1:15" x14ac:dyDescent="0.2">
      <c r="A43" s="1" t="s">
        <v>54</v>
      </c>
      <c r="B43" s="1">
        <v>710</v>
      </c>
      <c r="E43" s="1">
        <f>7.77/24</f>
        <v>0.32374999999999998</v>
      </c>
      <c r="F43" s="1">
        <v>45.677999999999997</v>
      </c>
      <c r="L43" s="3"/>
      <c r="M43" s="3"/>
    </row>
    <row r="44" spans="1:15" x14ac:dyDescent="0.2">
      <c r="A44" s="1" t="s">
        <v>55</v>
      </c>
      <c r="B44" s="1">
        <v>675</v>
      </c>
      <c r="C44" s="1">
        <v>42.1</v>
      </c>
      <c r="D44" s="1">
        <v>2900</v>
      </c>
      <c r="E44" s="1">
        <f>3.92/24</f>
        <v>0.16333333333333333</v>
      </c>
      <c r="F44" s="1">
        <v>43.329000000000001</v>
      </c>
      <c r="L44" s="3"/>
      <c r="M44" s="3"/>
    </row>
    <row r="45" spans="1:15" x14ac:dyDescent="0.2">
      <c r="A45" s="1" t="s">
        <v>56</v>
      </c>
      <c r="B45" s="1">
        <v>606</v>
      </c>
      <c r="C45" s="1">
        <v>15.2</v>
      </c>
      <c r="D45" s="1">
        <v>1650</v>
      </c>
      <c r="E45" s="1">
        <f>153.3/24</f>
        <v>6.3875000000000002</v>
      </c>
      <c r="F45" s="1">
        <v>39.481999999999999</v>
      </c>
      <c r="L45" s="3"/>
      <c r="M45" s="3"/>
    </row>
    <row r="46" spans="1:15" x14ac:dyDescent="0.2">
      <c r="A46" s="1" t="s">
        <v>57</v>
      </c>
      <c r="B46" s="1">
        <v>800</v>
      </c>
      <c r="E46" s="1">
        <f>10.27/24</f>
        <v>0.42791666666666667</v>
      </c>
      <c r="F46" s="1">
        <v>489.6</v>
      </c>
      <c r="L46" s="3"/>
      <c r="M46" s="3"/>
    </row>
    <row r="47" spans="1:15" x14ac:dyDescent="0.2">
      <c r="A47" s="1" t="s">
        <v>58</v>
      </c>
      <c r="B47" s="1">
        <v>355</v>
      </c>
      <c r="D47" s="1">
        <v>990</v>
      </c>
      <c r="L47" s="3"/>
      <c r="M47" s="3"/>
    </row>
    <row r="48" spans="1:15" x14ac:dyDescent="0.2">
      <c r="A48" s="1" t="s">
        <v>59</v>
      </c>
      <c r="B48" s="1">
        <v>445</v>
      </c>
      <c r="C48" s="1">
        <v>16</v>
      </c>
      <c r="D48" s="1">
        <v>4200</v>
      </c>
      <c r="L48" s="3"/>
      <c r="M48" s="3"/>
    </row>
    <row r="49" spans="1:13" x14ac:dyDescent="0.2">
      <c r="A49" s="1" t="s">
        <v>60</v>
      </c>
      <c r="B49" s="1">
        <v>640</v>
      </c>
      <c r="L49" s="3"/>
      <c r="M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Ward Depoorter</cp:lastModifiedBy>
  <dcterms:created xsi:type="dcterms:W3CDTF">2022-08-11T08:22:38Z</dcterms:created>
  <dcterms:modified xsi:type="dcterms:W3CDTF">2025-11-21T18:30:07Z</dcterms:modified>
</cp:coreProperties>
</file>